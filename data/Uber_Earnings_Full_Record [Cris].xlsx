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Weekly Earnings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<sst xmlns="http://schemas.openxmlformats.org/spreadsheetml/2006/main" count="45" uniqueCount="45">
  <si>
    <t xml:space="preserve">Uber Eats Earnings — Complete Record — Cris Santamaria</t>
  </si>
  <si>
    <t xml:space="preserve">Uber Technologies, Inc.  |  Sep 1, 2025 – Jun 12, 2026  |  Source: Uber app Earnings tab (weekly, Mon–Sun)</t>
  </si>
  <si>
    <t xml:space="preserve">Week Start (Mon)</t>
  </si>
  <si>
    <t xml:space="preserve">Week End (Sun)</t>
  </si>
  <si>
    <t xml:space="preserve">Net Fare</t>
  </si>
  <si>
    <t xml:space="preserve">Promotions</t>
  </si>
  <si>
    <t xml:space="preserve">Other</t>
  </si>
  <si>
    <t xml:space="preserve">Tips</t>
  </si>
  <si>
    <t xml:space="preserve">Total Earnings</t>
  </si>
  <si>
    <t xml:space="preserve">Online Hours</t>
  </si>
  <si>
    <t xml:space="preserve">Online (h:m)</t>
  </si>
  <si>
    <t xml:space="preserve">Trips</t>
  </si>
  <si>
    <t xml:space="preserve">Points</t>
  </si>
  <si>
    <t xml:space="preserve">23h 33m</t>
  </si>
  <si>
    <t xml:space="preserve">33h 21m</t>
  </si>
  <si>
    <t xml:space="preserve">57h 33m</t>
  </si>
  <si>
    <t xml:space="preserve">24h 54m</t>
  </si>
  <si>
    <t xml:space="preserve">12h 22m</t>
  </si>
  <si>
    <t xml:space="preserve">5h 34m</t>
  </si>
  <si>
    <t xml:space="preserve">18h 53m</t>
  </si>
  <si>
    <t xml:space="preserve">29h 57m</t>
  </si>
  <si>
    <t xml:space="preserve">23h 13m</t>
  </si>
  <si>
    <t xml:space="preserve">3h 29m</t>
  </si>
  <si>
    <t xml:space="preserve">15h 41m</t>
  </si>
  <si>
    <t xml:space="preserve">15h 58m</t>
  </si>
  <si>
    <t xml:space="preserve">15h 15m</t>
  </si>
  <si>
    <t xml:space="preserve">24h 49m</t>
  </si>
  <si>
    <t xml:space="preserve">4h 45m</t>
  </si>
  <si>
    <t xml:space="preserve">11h 1m</t>
  </si>
  <si>
    <t xml:space="preserve">16h 53m</t>
  </si>
  <si>
    <t xml:space="preserve">9h 55m</t>
  </si>
  <si>
    <t xml:space="preserve">11h 55m</t>
  </si>
  <si>
    <t xml:space="preserve">2h 52m</t>
  </si>
  <si>
    <t xml:space="preserve">9h 58m</t>
  </si>
  <si>
    <t xml:space="preserve">3h 19m</t>
  </si>
  <si>
    <t xml:space="preserve">0h 38m</t>
  </si>
  <si>
    <t xml:space="preserve">1h 21m</t>
  </si>
  <si>
    <t xml:space="preserve">6h 31m</t>
  </si>
  <si>
    <t xml:space="preserve">TOTAL</t>
  </si>
  <si>
    <t xml:space="preserve">Weeks driven</t>
  </si>
  <si>
    <t xml:space="preserve">Total gross earnings</t>
  </si>
  <si>
    <t xml:space="preserve">Total online hours</t>
  </si>
  <si>
    <t xml:space="preserve">Total trips</t>
  </si>
  <si>
    <t xml:space="preserve">Avg gross / week driven</t>
  </si>
  <si>
    <t xml:space="preserve">Effective $/hour</t>
  </si>
</sst>
</file>

<file path=xl/styles.xml><?xml version="1.0" encoding="utf-8"?>
<styleSheet xmlns="http://schemas.openxmlformats.org/spreadsheetml/2006/main">
  <numFmts count="5">
    <numFmt numFmtId="164" formatCode="General"/>
    <numFmt numFmtId="165" formatCode="mm/dd/yyyy"/>
    <numFmt numFmtId="166" formatCode="\$#,##0.00"/>
    <numFmt numFmtId="167" formatCode="0.0"/>
    <numFmt numFmtId="168" formatCode="0"/>
  </numFmts>
  <fonts count="10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FFFFFF"/>
      <name val="Arial"/>
      <family val="0"/>
      <charset val="1"/>
    </font>
    <font>
      <i val="true"/>
      <sz val="10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sz val="10"/>
      <name val="Arial"/>
      <family val="0"/>
      <charset val="1"/>
    </font>
    <font>
      <b val="true"/>
      <sz val="11"/>
      <name val="Arial"/>
      <family val="0"/>
      <charset val="1"/>
    </font>
    <font>
      <b val="true"/>
      <sz val="11"/>
      <color rgb="FF1F3864"/>
      <name val="Arial"/>
      <family val="0"/>
      <charset val="1"/>
    </font>
  </fonts>
  <fills count="6">
    <fill>
      <patternFill patternType="none"/>
    </fill>
    <fill>
      <patternFill patternType="gray125"/>
    </fill>
    <fill>
      <patternFill patternType="solid">
        <fgColor rgb="FF1F3864"/>
        <bgColor rgb="FF333333"/>
      </patternFill>
    </fill>
    <fill>
      <patternFill patternType="solid">
        <fgColor rgb="FFF2F2F2"/>
        <bgColor rgb="FFFFFFFF"/>
      </patternFill>
    </fill>
    <fill>
      <patternFill patternType="solid">
        <fgColor rgb="FF2E5496"/>
        <bgColor rgb="FF1F3864"/>
      </patternFill>
    </fill>
    <fill>
      <patternFill patternType="solid">
        <fgColor rgb="FFD6E0F0"/>
        <bgColor rgb="FFF2F2F2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0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6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7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7" fillId="0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7" fontId="7" fillId="0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7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0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5" fontId="7" fillId="3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7" fillId="3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7" fontId="7" fillId="3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7" fillId="3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3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0" fillId="4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4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6" fontId="6" fillId="4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7" fontId="6" fillId="4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8" fontId="6" fillId="4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8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8" fontId="9" fillId="5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6" fontId="9" fillId="5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7" fontId="9" fillId="5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2F2F2"/>
      <rgbColor rgb="FFCCFFFF"/>
      <rgbColor rgb="FF660066"/>
      <rgbColor rgb="FFFF8080"/>
      <rgbColor rgb="FF0066CC"/>
      <rgbColor rgb="FFD6E0F0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1F3864"/>
      <rgbColor rgb="FF339966"/>
      <rgbColor rgb="FF003300"/>
      <rgbColor rgb="FF333300"/>
      <rgbColor rgb="FF993300"/>
      <rgbColor rgb="FF993366"/>
      <rgbColor rgb="FF2E5496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37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2" min="1" style="0" width="16"/>
    <col collapsed="false" customWidth="true" hidden="false" outlineLevel="0" max="3" min="3" style="0" width="11"/>
    <col collapsed="false" customWidth="true" hidden="false" outlineLevel="0" max="4" min="4" style="0" width="12"/>
    <col collapsed="false" customWidth="true" hidden="false" outlineLevel="0" max="5" min="5" style="0" width="9"/>
    <col collapsed="false" customWidth="true" hidden="false" outlineLevel="0" max="6" min="6" style="0" width="10"/>
    <col collapsed="false" customWidth="true" hidden="false" outlineLevel="0" max="7" min="7" style="0" width="14"/>
    <col collapsed="false" customWidth="true" hidden="false" outlineLevel="0" max="9" min="8" style="0" width="12"/>
    <col collapsed="false" customWidth="true" hidden="false" outlineLevel="0" max="11" min="10" style="0" width="8"/>
  </cols>
  <sheetData>
    <row r="1" customFormat="false" ht="24" hidden="false" customHeight="true" outlineLevel="0" collapsed="false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</row>
    <row r="2" customFormat="false" ht="15" hidden="false" customHeight="false" outlineLevel="0" collapsed="false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</row>
    <row r="4" customFormat="false" ht="30" hidden="false" customHeight="true" outlineLevel="0" collapsed="false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  <c r="H4" s="3" t="s">
        <v>9</v>
      </c>
      <c r="I4" s="3" t="s">
        <v>10</v>
      </c>
      <c r="J4" s="3" t="s">
        <v>11</v>
      </c>
      <c r="K4" s="3" t="s">
        <v>12</v>
      </c>
    </row>
    <row r="5" customFormat="false" ht="15" hidden="false" customHeight="false" outlineLevel="0" collapsed="false">
      <c r="A5" s="4" t="n">
        <v>45901</v>
      </c>
      <c r="B5" s="4" t="n">
        <v>45907</v>
      </c>
      <c r="C5" s="5" t="n">
        <v>154.12</v>
      </c>
      <c r="D5" s="5" t="n">
        <v>0</v>
      </c>
      <c r="E5" s="5" t="n">
        <v>0</v>
      </c>
      <c r="F5" s="5" t="n">
        <v>108.43</v>
      </c>
      <c r="G5" s="5" t="n">
        <f aca="false">SUM(C5:F5)</f>
        <v>262.55</v>
      </c>
      <c r="H5" s="6" t="n">
        <v>23.55</v>
      </c>
      <c r="I5" s="7" t="s">
        <v>13</v>
      </c>
      <c r="J5" s="8" t="n">
        <v>38</v>
      </c>
      <c r="K5" s="8" t="n">
        <v>88</v>
      </c>
    </row>
    <row r="6" customFormat="false" ht="15" hidden="false" customHeight="false" outlineLevel="0" collapsed="false">
      <c r="A6" s="9" t="n">
        <v>45908</v>
      </c>
      <c r="B6" s="9" t="n">
        <v>45914</v>
      </c>
      <c r="C6" s="10" t="n">
        <v>222</v>
      </c>
      <c r="D6" s="10" t="n">
        <v>19.5</v>
      </c>
      <c r="E6" s="10" t="n">
        <v>0</v>
      </c>
      <c r="F6" s="10" t="n">
        <v>152.45</v>
      </c>
      <c r="G6" s="10" t="n">
        <f aca="false">SUM(C6:F6)</f>
        <v>393.95</v>
      </c>
      <c r="H6" s="11" t="n">
        <v>33.35</v>
      </c>
      <c r="I6" s="12" t="s">
        <v>14</v>
      </c>
      <c r="J6" s="13" t="n">
        <v>55</v>
      </c>
      <c r="K6" s="13" t="n">
        <v>170</v>
      </c>
    </row>
    <row r="7" customFormat="false" ht="15" hidden="false" customHeight="false" outlineLevel="0" collapsed="false">
      <c r="A7" s="4" t="n">
        <v>45915</v>
      </c>
      <c r="B7" s="4" t="n">
        <v>45921</v>
      </c>
      <c r="C7" s="5" t="n">
        <v>466.15</v>
      </c>
      <c r="D7" s="5" t="n">
        <v>40.5</v>
      </c>
      <c r="E7" s="5" t="n">
        <v>0</v>
      </c>
      <c r="F7" s="5" t="n">
        <v>244.93</v>
      </c>
      <c r="G7" s="5" t="n">
        <f aca="false">SUM(C7:F7)</f>
        <v>751.58</v>
      </c>
      <c r="H7" s="6" t="n">
        <v>57.55</v>
      </c>
      <c r="I7" s="7" t="s">
        <v>15</v>
      </c>
      <c r="J7" s="8" t="n">
        <v>112</v>
      </c>
      <c r="K7" s="8" t="n">
        <v>399</v>
      </c>
    </row>
    <row r="8" customFormat="false" ht="15" hidden="false" customHeight="false" outlineLevel="0" collapsed="false">
      <c r="A8" s="9" t="n">
        <v>45922</v>
      </c>
      <c r="B8" s="9" t="n">
        <v>45928</v>
      </c>
      <c r="C8" s="10" t="n">
        <v>233.01</v>
      </c>
      <c r="D8" s="10" t="n">
        <v>52</v>
      </c>
      <c r="E8" s="10" t="n">
        <v>0</v>
      </c>
      <c r="F8" s="10" t="n">
        <v>231.58</v>
      </c>
      <c r="G8" s="10" t="n">
        <f aca="false">SUM(C8:F8)</f>
        <v>516.59</v>
      </c>
      <c r="H8" s="11" t="n">
        <v>24.9</v>
      </c>
      <c r="I8" s="12" t="s">
        <v>16</v>
      </c>
      <c r="J8" s="13" t="n">
        <v>68</v>
      </c>
      <c r="K8" s="13" t="n">
        <v>271</v>
      </c>
    </row>
    <row r="9" customFormat="false" ht="15" hidden="false" customHeight="false" outlineLevel="0" collapsed="false">
      <c r="A9" s="4" t="n">
        <v>45929</v>
      </c>
      <c r="B9" s="4" t="n">
        <v>45935</v>
      </c>
      <c r="C9" s="5" t="n">
        <v>98.07</v>
      </c>
      <c r="D9" s="5" t="n">
        <v>36</v>
      </c>
      <c r="E9" s="5" t="n">
        <v>0.9</v>
      </c>
      <c r="F9" s="5" t="n">
        <v>109.99</v>
      </c>
      <c r="G9" s="5" t="n">
        <f aca="false">SUM(C9:F9)</f>
        <v>244.96</v>
      </c>
      <c r="H9" s="6" t="n">
        <v>12.37</v>
      </c>
      <c r="I9" s="7" t="s">
        <v>17</v>
      </c>
      <c r="J9" s="8" t="n">
        <v>30</v>
      </c>
      <c r="K9" s="8" t="n">
        <v>60</v>
      </c>
    </row>
    <row r="10" customFormat="false" ht="15" hidden="false" customHeight="false" outlineLevel="0" collapsed="false">
      <c r="A10" s="9" t="n">
        <v>45950</v>
      </c>
      <c r="B10" s="9" t="n">
        <v>45956</v>
      </c>
      <c r="C10" s="10" t="n">
        <v>61.8</v>
      </c>
      <c r="D10" s="10" t="n">
        <v>18</v>
      </c>
      <c r="E10" s="10" t="n">
        <v>0</v>
      </c>
      <c r="F10" s="10" t="n">
        <v>32.26</v>
      </c>
      <c r="G10" s="10" t="n">
        <f aca="false">SUM(C10:F10)</f>
        <v>112.06</v>
      </c>
      <c r="H10" s="11" t="n">
        <v>5.57</v>
      </c>
      <c r="I10" s="12" t="s">
        <v>18</v>
      </c>
      <c r="J10" s="13" t="n">
        <v>15</v>
      </c>
      <c r="K10" s="13" t="n">
        <v>65</v>
      </c>
    </row>
    <row r="11" customFormat="false" ht="15" hidden="false" customHeight="false" outlineLevel="0" collapsed="false">
      <c r="A11" s="4" t="n">
        <v>45957</v>
      </c>
      <c r="B11" s="4" t="n">
        <v>45963</v>
      </c>
      <c r="C11" s="5" t="n">
        <v>201.11</v>
      </c>
      <c r="D11" s="5" t="n">
        <v>91.5</v>
      </c>
      <c r="E11" s="5" t="n">
        <v>0</v>
      </c>
      <c r="F11" s="5" t="n">
        <v>123.57</v>
      </c>
      <c r="G11" s="5" t="n">
        <f aca="false">SUM(C11:F11)</f>
        <v>416.18</v>
      </c>
      <c r="H11" s="6" t="n">
        <v>18.88</v>
      </c>
      <c r="I11" s="7" t="s">
        <v>19</v>
      </c>
      <c r="J11" s="8" t="n">
        <v>55</v>
      </c>
      <c r="K11" s="8" t="n">
        <v>170</v>
      </c>
    </row>
    <row r="12" customFormat="false" ht="15" hidden="false" customHeight="false" outlineLevel="0" collapsed="false">
      <c r="A12" s="9" t="n">
        <v>45964</v>
      </c>
      <c r="B12" s="9" t="n">
        <v>45970</v>
      </c>
      <c r="C12" s="10" t="n">
        <v>284.23</v>
      </c>
      <c r="D12" s="10" t="n">
        <v>255</v>
      </c>
      <c r="E12" s="10" t="n">
        <v>0</v>
      </c>
      <c r="F12" s="10" t="n">
        <v>255.92</v>
      </c>
      <c r="G12" s="10" t="n">
        <f aca="false">SUM(C12:F12)</f>
        <v>795.15</v>
      </c>
      <c r="H12" s="11" t="n">
        <v>29.95</v>
      </c>
      <c r="I12" s="12" t="s">
        <v>20</v>
      </c>
      <c r="J12" s="13" t="n">
        <v>98</v>
      </c>
      <c r="K12" s="13" t="n">
        <v>289</v>
      </c>
    </row>
    <row r="13" customFormat="false" ht="15" hidden="false" customHeight="false" outlineLevel="0" collapsed="false">
      <c r="A13" s="4" t="n">
        <v>45971</v>
      </c>
      <c r="B13" s="4" t="n">
        <v>45977</v>
      </c>
      <c r="C13" s="5" t="n">
        <v>193.15</v>
      </c>
      <c r="D13" s="5" t="n">
        <v>96.5</v>
      </c>
      <c r="E13" s="5" t="n">
        <v>0</v>
      </c>
      <c r="F13" s="5" t="n">
        <v>307.75</v>
      </c>
      <c r="G13" s="5" t="n">
        <f aca="false">SUM(C13:F13)</f>
        <v>597.4</v>
      </c>
      <c r="H13" s="6" t="n">
        <v>23.22</v>
      </c>
      <c r="I13" s="7" t="s">
        <v>21</v>
      </c>
      <c r="J13" s="8" t="n">
        <v>68</v>
      </c>
      <c r="K13" s="8" t="n">
        <v>235</v>
      </c>
    </row>
    <row r="14" customFormat="false" ht="15" hidden="false" customHeight="false" outlineLevel="0" collapsed="false">
      <c r="A14" s="9" t="n">
        <v>45978</v>
      </c>
      <c r="B14" s="9" t="n">
        <v>45984</v>
      </c>
      <c r="C14" s="10" t="n">
        <v>29.75</v>
      </c>
      <c r="D14" s="10" t="n">
        <v>22.5</v>
      </c>
      <c r="E14" s="10" t="n">
        <v>0</v>
      </c>
      <c r="F14" s="10" t="n">
        <v>26.92</v>
      </c>
      <c r="G14" s="10" t="n">
        <f aca="false">SUM(C14:F14)</f>
        <v>79.17</v>
      </c>
      <c r="H14" s="11" t="n">
        <v>3.48</v>
      </c>
      <c r="I14" s="12" t="s">
        <v>22</v>
      </c>
      <c r="J14" s="13" t="n">
        <v>10</v>
      </c>
      <c r="K14" s="13" t="n">
        <v>60</v>
      </c>
    </row>
    <row r="15" customFormat="false" ht="15" hidden="false" customHeight="false" outlineLevel="0" collapsed="false">
      <c r="A15" s="4" t="n">
        <v>45985</v>
      </c>
      <c r="B15" s="4" t="n">
        <v>45991</v>
      </c>
      <c r="C15" s="5" t="n">
        <v>214.45</v>
      </c>
      <c r="D15" s="5" t="n">
        <v>115</v>
      </c>
      <c r="E15" s="5" t="n">
        <v>0</v>
      </c>
      <c r="F15" s="5" t="n">
        <v>108.15</v>
      </c>
      <c r="G15" s="5" t="n">
        <f aca="false">SUM(C15:F15)</f>
        <v>437.6</v>
      </c>
      <c r="H15" s="6" t="n">
        <v>15.68</v>
      </c>
      <c r="I15" s="7" t="s">
        <v>23</v>
      </c>
      <c r="J15" s="8" t="n">
        <v>50</v>
      </c>
      <c r="K15" s="8" t="n">
        <v>105</v>
      </c>
    </row>
    <row r="16" customFormat="false" ht="15" hidden="false" customHeight="false" outlineLevel="0" collapsed="false">
      <c r="A16" s="9" t="n">
        <v>45992</v>
      </c>
      <c r="B16" s="9" t="n">
        <v>45998</v>
      </c>
      <c r="C16" s="10" t="n">
        <v>147.26</v>
      </c>
      <c r="D16" s="10" t="n">
        <v>91.5</v>
      </c>
      <c r="E16" s="10" t="n">
        <v>0</v>
      </c>
      <c r="F16" s="10" t="n">
        <v>117.04</v>
      </c>
      <c r="G16" s="10" t="n">
        <f aca="false">SUM(C16:F16)</f>
        <v>355.8</v>
      </c>
      <c r="H16" s="11" t="n">
        <v>15.97</v>
      </c>
      <c r="I16" s="12" t="s">
        <v>24</v>
      </c>
      <c r="J16" s="13" t="n">
        <v>52</v>
      </c>
      <c r="K16" s="13" t="n">
        <v>90</v>
      </c>
    </row>
    <row r="17" customFormat="false" ht="15" hidden="false" customHeight="false" outlineLevel="0" collapsed="false">
      <c r="A17" s="4" t="n">
        <v>45999</v>
      </c>
      <c r="B17" s="4" t="n">
        <v>46005</v>
      </c>
      <c r="C17" s="5" t="n">
        <v>143.89</v>
      </c>
      <c r="D17" s="5" t="n">
        <v>79.5</v>
      </c>
      <c r="E17" s="5" t="n">
        <v>0</v>
      </c>
      <c r="F17" s="5" t="n">
        <v>111.81</v>
      </c>
      <c r="G17" s="5" t="n">
        <f aca="false">SUM(C17:F17)</f>
        <v>335.2</v>
      </c>
      <c r="H17" s="6" t="n">
        <v>15.25</v>
      </c>
      <c r="I17" s="7" t="s">
        <v>25</v>
      </c>
      <c r="J17" s="8" t="n">
        <v>41</v>
      </c>
      <c r="K17" s="8" t="n">
        <v>116</v>
      </c>
    </row>
    <row r="18" customFormat="false" ht="15" hidden="false" customHeight="false" outlineLevel="0" collapsed="false">
      <c r="A18" s="9" t="n">
        <v>46006</v>
      </c>
      <c r="B18" s="9" t="n">
        <v>46012</v>
      </c>
      <c r="C18" s="10" t="n">
        <v>273.43</v>
      </c>
      <c r="D18" s="10" t="n">
        <v>242</v>
      </c>
      <c r="E18" s="10" t="n">
        <v>0</v>
      </c>
      <c r="F18" s="10" t="n">
        <v>147.13</v>
      </c>
      <c r="G18" s="10" t="n">
        <f aca="false">SUM(C18:F18)</f>
        <v>662.56</v>
      </c>
      <c r="H18" s="11" t="n">
        <v>24.82</v>
      </c>
      <c r="I18" s="12" t="s">
        <v>26</v>
      </c>
      <c r="J18" s="13" t="n">
        <v>83</v>
      </c>
      <c r="K18" s="13" t="n">
        <v>273</v>
      </c>
    </row>
    <row r="19" customFormat="false" ht="15" hidden="false" customHeight="false" outlineLevel="0" collapsed="false">
      <c r="A19" s="4" t="n">
        <v>46013</v>
      </c>
      <c r="B19" s="4" t="n">
        <v>46019</v>
      </c>
      <c r="C19" s="5" t="n">
        <v>32.14</v>
      </c>
      <c r="D19" s="5" t="n">
        <v>6</v>
      </c>
      <c r="E19" s="5" t="n">
        <v>0</v>
      </c>
      <c r="F19" s="5" t="n">
        <v>27.82</v>
      </c>
      <c r="G19" s="5" t="n">
        <f aca="false">SUM(C19:F19)</f>
        <v>65.96</v>
      </c>
      <c r="H19" s="6" t="n">
        <v>4.75</v>
      </c>
      <c r="I19" s="7" t="s">
        <v>27</v>
      </c>
      <c r="J19" s="8" t="n">
        <v>12</v>
      </c>
      <c r="K19" s="8" t="n">
        <v>57</v>
      </c>
    </row>
    <row r="20" customFormat="false" ht="15" hidden="false" customHeight="false" outlineLevel="0" collapsed="false">
      <c r="A20" s="9" t="n">
        <v>46020</v>
      </c>
      <c r="B20" s="9" t="n">
        <v>46026</v>
      </c>
      <c r="C20" s="10" t="n">
        <v>94.56</v>
      </c>
      <c r="D20" s="10" t="n">
        <v>100.5</v>
      </c>
      <c r="E20" s="10" t="n">
        <v>0</v>
      </c>
      <c r="F20" s="10" t="n">
        <v>76.25</v>
      </c>
      <c r="G20" s="10" t="n">
        <f aca="false">SUM(C20:F20)</f>
        <v>271.31</v>
      </c>
      <c r="H20" s="11" t="n">
        <v>11.02</v>
      </c>
      <c r="I20" s="12" t="s">
        <v>28</v>
      </c>
      <c r="J20" s="13" t="n">
        <v>36</v>
      </c>
      <c r="K20" s="13" t="n">
        <v>91</v>
      </c>
    </row>
    <row r="21" customFormat="false" ht="15" hidden="false" customHeight="false" outlineLevel="0" collapsed="false">
      <c r="A21" s="4" t="n">
        <v>46027</v>
      </c>
      <c r="B21" s="4" t="n">
        <v>46033</v>
      </c>
      <c r="C21" s="5" t="n">
        <v>134.59</v>
      </c>
      <c r="D21" s="5" t="n">
        <v>117.5</v>
      </c>
      <c r="E21" s="5" t="n">
        <v>0</v>
      </c>
      <c r="F21" s="5" t="n">
        <v>92.35</v>
      </c>
      <c r="G21" s="5" t="n">
        <f aca="false">SUM(C21:F21)</f>
        <v>344.44</v>
      </c>
      <c r="H21" s="6" t="n">
        <v>16.88</v>
      </c>
      <c r="I21" s="7" t="s">
        <v>29</v>
      </c>
      <c r="J21" s="8" t="n">
        <v>49</v>
      </c>
      <c r="K21" s="8" t="n">
        <v>134</v>
      </c>
    </row>
    <row r="22" customFormat="false" ht="15" hidden="false" customHeight="false" outlineLevel="0" collapsed="false">
      <c r="A22" s="9" t="n">
        <v>46034</v>
      </c>
      <c r="B22" s="9" t="n">
        <v>46040</v>
      </c>
      <c r="C22" s="10" t="n">
        <v>78.12</v>
      </c>
      <c r="D22" s="10" t="n">
        <v>98.5</v>
      </c>
      <c r="E22" s="10" t="n">
        <v>0</v>
      </c>
      <c r="F22" s="10" t="n">
        <v>79.67</v>
      </c>
      <c r="G22" s="10" t="n">
        <f aca="false">SUM(C22:F22)</f>
        <v>256.29</v>
      </c>
      <c r="H22" s="11" t="n">
        <v>9.92</v>
      </c>
      <c r="I22" s="12" t="s">
        <v>30</v>
      </c>
      <c r="J22" s="13" t="n">
        <v>31</v>
      </c>
      <c r="K22" s="13" t="n">
        <v>109</v>
      </c>
    </row>
    <row r="23" customFormat="false" ht="15" hidden="false" customHeight="false" outlineLevel="0" collapsed="false">
      <c r="A23" s="4" t="n">
        <v>46041</v>
      </c>
      <c r="B23" s="4" t="n">
        <v>46047</v>
      </c>
      <c r="C23" s="5" t="n">
        <v>99.2</v>
      </c>
      <c r="D23" s="5" t="n">
        <v>110</v>
      </c>
      <c r="E23" s="5" t="n">
        <v>0</v>
      </c>
      <c r="F23" s="5" t="n">
        <v>65.02</v>
      </c>
      <c r="G23" s="5" t="n">
        <f aca="false">SUM(C23:F23)</f>
        <v>274.22</v>
      </c>
      <c r="H23" s="6" t="n">
        <v>11.92</v>
      </c>
      <c r="I23" s="7" t="s">
        <v>31</v>
      </c>
      <c r="J23" s="8" t="n">
        <v>38</v>
      </c>
      <c r="K23" s="8" t="n">
        <v>103</v>
      </c>
    </row>
    <row r="24" customFormat="false" ht="15" hidden="false" customHeight="false" outlineLevel="0" collapsed="false">
      <c r="A24" s="9" t="n">
        <v>46048</v>
      </c>
      <c r="B24" s="9" t="n">
        <v>46054</v>
      </c>
      <c r="C24" s="10" t="n">
        <v>24.22</v>
      </c>
      <c r="D24" s="10" t="n">
        <v>18</v>
      </c>
      <c r="E24" s="10" t="n">
        <v>0</v>
      </c>
      <c r="F24" s="10" t="n">
        <v>21.02</v>
      </c>
      <c r="G24" s="10" t="n">
        <f aca="false">SUM(C24:F24)</f>
        <v>63.24</v>
      </c>
      <c r="H24" s="11" t="n">
        <v>2.87</v>
      </c>
      <c r="I24" s="12" t="s">
        <v>32</v>
      </c>
      <c r="J24" s="13" t="n">
        <v>9</v>
      </c>
      <c r="K24" s="13" t="n">
        <v>54</v>
      </c>
    </row>
    <row r="25" customFormat="false" ht="15" hidden="false" customHeight="false" outlineLevel="0" collapsed="false">
      <c r="A25" s="4" t="n">
        <v>46069</v>
      </c>
      <c r="B25" s="4" t="n">
        <v>46075</v>
      </c>
      <c r="C25" s="5" t="n">
        <v>139.28</v>
      </c>
      <c r="D25" s="5" t="n">
        <v>304.5</v>
      </c>
      <c r="E25" s="5" t="n">
        <v>0</v>
      </c>
      <c r="F25" s="5" t="n">
        <v>86.92</v>
      </c>
      <c r="G25" s="5" t="n">
        <f aca="false">SUM(C25:F25)</f>
        <v>530.7</v>
      </c>
      <c r="H25" s="6" t="n">
        <v>9.97</v>
      </c>
      <c r="I25" s="7" t="s">
        <v>33</v>
      </c>
      <c r="J25" s="8" t="n">
        <v>36</v>
      </c>
      <c r="K25" s="8" t="n">
        <v>154</v>
      </c>
    </row>
    <row r="26" customFormat="false" ht="15" hidden="false" customHeight="false" outlineLevel="0" collapsed="false">
      <c r="A26" s="9" t="n">
        <v>46076</v>
      </c>
      <c r="B26" s="9" t="n">
        <v>46082</v>
      </c>
      <c r="C26" s="10" t="n">
        <v>38.47</v>
      </c>
      <c r="D26" s="10" t="n">
        <v>144</v>
      </c>
      <c r="E26" s="10" t="n">
        <v>0</v>
      </c>
      <c r="F26" s="10" t="n">
        <v>39.09</v>
      </c>
      <c r="G26" s="10" t="n">
        <f aca="false">SUM(C26:F26)</f>
        <v>221.56</v>
      </c>
      <c r="H26" s="11" t="n">
        <v>3.32</v>
      </c>
      <c r="I26" s="12" t="s">
        <v>34</v>
      </c>
      <c r="J26" s="13" t="n">
        <v>13</v>
      </c>
      <c r="K26" s="13" t="n">
        <v>38</v>
      </c>
    </row>
    <row r="27" customFormat="false" ht="15" hidden="false" customHeight="false" outlineLevel="0" collapsed="false">
      <c r="A27" s="4" t="n">
        <v>46083</v>
      </c>
      <c r="B27" s="4" t="n">
        <v>46089</v>
      </c>
      <c r="C27" s="5" t="n">
        <v>4.58</v>
      </c>
      <c r="D27" s="5" t="n">
        <v>0</v>
      </c>
      <c r="E27" s="5" t="n">
        <v>0</v>
      </c>
      <c r="F27" s="5" t="n">
        <v>8.17</v>
      </c>
      <c r="G27" s="5" t="n">
        <f aca="false">SUM(C27:F27)</f>
        <v>12.75</v>
      </c>
      <c r="H27" s="6" t="n">
        <v>0.63</v>
      </c>
      <c r="I27" s="7" t="s">
        <v>35</v>
      </c>
      <c r="J27" s="8" t="n">
        <v>2</v>
      </c>
      <c r="K27" s="8" t="n">
        <v>12</v>
      </c>
    </row>
    <row r="28" customFormat="false" ht="15" hidden="false" customHeight="false" outlineLevel="0" collapsed="false">
      <c r="A28" s="9" t="n">
        <v>46125</v>
      </c>
      <c r="B28" s="9" t="n">
        <v>46131</v>
      </c>
      <c r="C28" s="10" t="n">
        <v>12.65</v>
      </c>
      <c r="D28" s="10" t="n">
        <v>0</v>
      </c>
      <c r="E28" s="10" t="n">
        <v>0</v>
      </c>
      <c r="F28" s="10" t="n">
        <v>5</v>
      </c>
      <c r="G28" s="10" t="n">
        <f aca="false">SUM(C28:F28)</f>
        <v>17.65</v>
      </c>
      <c r="H28" s="11" t="n">
        <v>1.35</v>
      </c>
      <c r="I28" s="12" t="s">
        <v>36</v>
      </c>
      <c r="J28" s="13" t="n">
        <v>4</v>
      </c>
      <c r="K28" s="13" t="n">
        <v>4</v>
      </c>
    </row>
    <row r="29" customFormat="false" ht="15" hidden="false" customHeight="false" outlineLevel="0" collapsed="false">
      <c r="A29" s="4" t="n">
        <v>46181</v>
      </c>
      <c r="B29" s="4" t="n">
        <v>46187</v>
      </c>
      <c r="C29" s="5" t="n">
        <v>76.44</v>
      </c>
      <c r="D29" s="5" t="n">
        <v>200</v>
      </c>
      <c r="E29" s="5" t="n">
        <v>0</v>
      </c>
      <c r="F29" s="5" t="n">
        <v>40.48</v>
      </c>
      <c r="G29" s="5" t="n">
        <f aca="false">SUM(C29:F29)</f>
        <v>316.92</v>
      </c>
      <c r="H29" s="6" t="n">
        <v>6.52</v>
      </c>
      <c r="I29" s="7" t="s">
        <v>37</v>
      </c>
      <c r="J29" s="8" t="n">
        <v>26</v>
      </c>
      <c r="K29" s="8" t="n">
        <v>26</v>
      </c>
    </row>
    <row r="30" customFormat="false" ht="15" hidden="false" customHeight="false" outlineLevel="0" collapsed="false">
      <c r="A30" s="14"/>
      <c r="B30" s="15" t="s">
        <v>38</v>
      </c>
      <c r="C30" s="16" t="n">
        <f aca="false">SUM(C5:C29)</f>
        <v>3456.67</v>
      </c>
      <c r="D30" s="16" t="n">
        <f aca="false">SUM(D5:D29)</f>
        <v>2258.5</v>
      </c>
      <c r="E30" s="16" t="n">
        <f aca="false">SUM(E5:E29)</f>
        <v>0.9</v>
      </c>
      <c r="F30" s="16" t="n">
        <f aca="false">SUM(F5:F29)</f>
        <v>2619.72</v>
      </c>
      <c r="G30" s="16" t="n">
        <f aca="false">SUM(G5:G29)</f>
        <v>8335.79</v>
      </c>
      <c r="H30" s="17" t="n">
        <f aca="false">SUM(H5:H29)</f>
        <v>383.69</v>
      </c>
      <c r="I30" s="14"/>
      <c r="J30" s="18" t="n">
        <f aca="false">SUM(J5:J29)</f>
        <v>1031</v>
      </c>
      <c r="K30" s="18" t="n">
        <f aca="false">SUM(K5:K29)</f>
        <v>3173</v>
      </c>
    </row>
    <row r="32" customFormat="false" ht="15" hidden="false" customHeight="false" outlineLevel="0" collapsed="false">
      <c r="B32" s="19" t="s">
        <v>39</v>
      </c>
      <c r="C32" s="20" t="n">
        <f aca="false">COUNT(G5:G29)</f>
        <v>25</v>
      </c>
    </row>
    <row r="33" customFormat="false" ht="15" hidden="false" customHeight="false" outlineLevel="0" collapsed="false">
      <c r="B33" s="19" t="s">
        <v>40</v>
      </c>
      <c r="C33" s="21" t="n">
        <f aca="false">G30</f>
        <v>8335.79</v>
      </c>
    </row>
    <row r="34" customFormat="false" ht="15" hidden="false" customHeight="false" outlineLevel="0" collapsed="false">
      <c r="B34" s="19" t="s">
        <v>41</v>
      </c>
      <c r="C34" s="22" t="n">
        <f aca="false">H30</f>
        <v>383.69</v>
      </c>
    </row>
    <row r="35" customFormat="false" ht="15" hidden="false" customHeight="false" outlineLevel="0" collapsed="false">
      <c r="B35" s="19" t="s">
        <v>42</v>
      </c>
      <c r="C35" s="20" t="n">
        <f aca="false">J30</f>
        <v>1031</v>
      </c>
    </row>
    <row r="36" customFormat="false" ht="15" hidden="false" customHeight="false" outlineLevel="0" collapsed="false">
      <c r="B36" s="19" t="s">
        <v>43</v>
      </c>
      <c r="C36" s="21" t="n">
        <f aca="false">G30/COUNT(G5:G29)</f>
        <v>333.4316</v>
      </c>
    </row>
    <row r="37" customFormat="false" ht="15" hidden="false" customHeight="false" outlineLevel="0" collapsed="false">
      <c r="B37" s="19" t="s">
        <v>44</v>
      </c>
      <c r="C37" s="21" t="n">
        <f aca="false">G30/H30</f>
        <v>21.7253251322682</v>
      </c>
    </row>
  </sheetData>
  <mergeCells count="2">
    <mergeCell ref="A1:K1"/>
    <mergeCell ref="A2:K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2026-06-16T20:14:37Z</dcterms:created>
  <dc:creator>openpyxl</dc:creator>
  <dc:description/>
  <dc:language>en-US</dc:language>
  <cp:lastModifiedBy/>
  <dcterms:modified xsi:type="dcterms:W3CDTF">2026-06-16T20:14:37Z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